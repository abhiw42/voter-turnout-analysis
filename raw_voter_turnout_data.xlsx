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/Downloads/"/>
    </mc:Choice>
  </mc:AlternateContent>
  <xr:revisionPtr revIDLastSave="0" documentId="13_ncr:1_{79E03A0C-2BE8-784A-A68C-5775E1048314}" xr6:coauthVersionLast="47" xr6:coauthVersionMax="47" xr10:uidLastSave="{00000000-0000-0000-0000-000000000000}"/>
  <bookViews>
    <workbookView xWindow="280" yWindow="1120" windowWidth="28040" windowHeight="16540" xr2:uid="{B1EAAC8D-85FE-864F-B95C-6C7DB16E50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G31" i="1"/>
  <c r="K31" i="1" s="1"/>
  <c r="G30" i="1"/>
  <c r="K30" i="1" s="1"/>
  <c r="G29" i="1"/>
  <c r="K29" i="1" s="1"/>
  <c r="G28" i="1"/>
  <c r="K28" i="1" s="1"/>
  <c r="G27" i="1"/>
  <c r="K27" i="1" s="1"/>
  <c r="G26" i="1"/>
  <c r="K26" i="1" s="1"/>
  <c r="G25" i="1"/>
  <c r="K25" i="1" s="1"/>
  <c r="G24" i="1"/>
  <c r="K24" i="1" s="1"/>
  <c r="G23" i="1"/>
  <c r="K23" i="1" s="1"/>
  <c r="G22" i="1"/>
  <c r="K22" i="1" s="1"/>
  <c r="G21" i="1"/>
  <c r="K21" i="1" s="1"/>
  <c r="G20" i="1"/>
  <c r="K20" i="1" s="1"/>
  <c r="G19" i="1"/>
  <c r="K19" i="1" s="1"/>
  <c r="G18" i="1"/>
  <c r="K18" i="1" s="1"/>
  <c r="G17" i="1"/>
  <c r="K17" i="1" s="1"/>
  <c r="G16" i="1"/>
  <c r="K16" i="1" s="1"/>
  <c r="G15" i="1"/>
  <c r="K15" i="1" s="1"/>
  <c r="G14" i="1"/>
  <c r="K14" i="1" s="1"/>
  <c r="G13" i="1"/>
  <c r="K13" i="1" s="1"/>
  <c r="G12" i="1"/>
  <c r="K12" i="1" s="1"/>
  <c r="G11" i="1"/>
  <c r="K11" i="1" s="1"/>
  <c r="G10" i="1"/>
  <c r="K10" i="1" s="1"/>
  <c r="G9" i="1"/>
  <c r="K9" i="1" s="1"/>
  <c r="G8" i="1"/>
  <c r="K8" i="1" s="1"/>
  <c r="G7" i="1"/>
  <c r="K7" i="1" s="1"/>
  <c r="G6" i="1"/>
  <c r="K6" i="1" s="1"/>
  <c r="G5" i="1"/>
  <c r="K5" i="1" s="1"/>
  <c r="G4" i="1"/>
  <c r="K4" i="1" s="1"/>
  <c r="G3" i="1"/>
  <c r="K3" i="1" s="1"/>
  <c r="G2" i="1"/>
  <c r="K2" i="1" s="1"/>
  <c r="E2" i="1" l="1"/>
  <c r="F2" i="1" s="1"/>
</calcChain>
</file>

<file path=xl/sharedStrings.xml><?xml version="1.0" encoding="utf-8"?>
<sst xmlns="http://schemas.openxmlformats.org/spreadsheetml/2006/main" count="74" uniqueCount="33">
  <si>
    <t>Bangalore South</t>
  </si>
  <si>
    <t>Mumbai North</t>
  </si>
  <si>
    <t>Chennai South</t>
  </si>
  <si>
    <t>Lucknow</t>
  </si>
  <si>
    <t>Uttar Pradesh</t>
  </si>
  <si>
    <t>Patna Sahib</t>
  </si>
  <si>
    <t>Bihar</t>
  </si>
  <si>
    <t>Tamil Nadu</t>
  </si>
  <si>
    <t>Maharashtra</t>
  </si>
  <si>
    <t>Karnataka</t>
  </si>
  <si>
    <t>Bhopal</t>
  </si>
  <si>
    <t>Madhya Pradesh</t>
  </si>
  <si>
    <t>Kerala</t>
  </si>
  <si>
    <t>Thiruvananthapuram</t>
  </si>
  <si>
    <t>Karnal</t>
  </si>
  <si>
    <t>Haryana</t>
  </si>
  <si>
    <t>Jaipur</t>
  </si>
  <si>
    <t>Rajasthan</t>
  </si>
  <si>
    <t>Chandigarh</t>
  </si>
  <si>
    <t>YEAR</t>
  </si>
  <si>
    <t>Total_voters</t>
  </si>
  <si>
    <t>Postal%</t>
  </si>
  <si>
    <t>Constituency_Name</t>
  </si>
  <si>
    <t>State_Name</t>
  </si>
  <si>
    <t>Male_voters</t>
  </si>
  <si>
    <t>Female_voters</t>
  </si>
  <si>
    <t>Total_votes_polled</t>
  </si>
  <si>
    <t>Male_votes_polled</t>
  </si>
  <si>
    <t>Female_votes_polled</t>
  </si>
  <si>
    <t>Postal_votes</t>
  </si>
  <si>
    <t>Overall_voter_turnout(%)</t>
  </si>
  <si>
    <t>Male_turnout%</t>
  </si>
  <si>
    <t>Female_turnout%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</si>
</sst>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NumberFormat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NumberFormat="1" applyFont="1" applyBorder="1" applyAlignment="1">
      <alignment vertical="top" wrapText="1"/>
    </xf>
    <xf numFmtId="2" fontId="1" fillId="0" borderId="0" xfId="0" applyNumberFormat="1" applyFont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F14A-00C3-CF47-8702-D7A53B55A60E}">
  <dimension ref="A1:N31"/>
  <sheetViews>
    <sheetView tabSelected="1" zoomScaleNormal="100" workbookViewId="0">
      <selection activeCell="F31" sqref="F31"/>
    </sheetView>
  </sheetViews>
  <sheetFormatPr baseColWidth="10" defaultRowHeight="16" x14ac:dyDescent="0.2"/>
  <cols>
    <col min="2" max="2" width="18" bestFit="1" customWidth="1"/>
    <col min="3" max="3" width="14.33203125" bestFit="1" customWidth="1"/>
    <col min="5" max="5" width="15.83203125" customWidth="1"/>
    <col min="6" max="6" width="13.33203125" bestFit="1" customWidth="1"/>
    <col min="7" max="8" width="16.5" bestFit="1" customWidth="1"/>
    <col min="9" max="9" width="18.6640625" bestFit="1" customWidth="1"/>
    <col min="10" max="10" width="12.83203125" customWidth="1"/>
    <col min="11" max="11" width="22" style="3" bestFit="1" customWidth="1"/>
    <col min="12" max="12" width="13.5" style="3" bestFit="1" customWidth="1"/>
    <col min="13" max="13" width="15.6640625" style="2" bestFit="1" customWidth="1"/>
    <col min="14" max="14" width="8" style="3" bestFit="1" customWidth="1"/>
  </cols>
  <sheetData>
    <row r="1" spans="1:14" ht="34" x14ac:dyDescent="0.2">
      <c r="A1" s="8" t="s">
        <v>19</v>
      </c>
      <c r="B1" s="4" t="s">
        <v>22</v>
      </c>
      <c r="C1" s="4" t="s">
        <v>23</v>
      </c>
      <c r="D1" s="4" t="s">
        <v>20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5" t="s">
        <v>29</v>
      </c>
      <c r="K1" s="6" t="s">
        <v>30</v>
      </c>
      <c r="L1" s="6" t="s">
        <v>31</v>
      </c>
      <c r="M1" s="7" t="s">
        <v>32</v>
      </c>
      <c r="N1" s="6" t="s">
        <v>21</v>
      </c>
    </row>
    <row r="2" spans="1:14" x14ac:dyDescent="0.2">
      <c r="A2">
        <v>2014</v>
      </c>
      <c r="B2" t="s">
        <v>5</v>
      </c>
      <c r="C2" s="9" t="s">
        <v>6</v>
      </c>
      <c r="D2">
        <v>1946249</v>
      </c>
      <c r="E2">
        <f>ROUND( H2 / (L2/100), 0 )</f>
        <v>1051493</v>
      </c>
      <c r="F2">
        <f>ROUND( D2 - E2, 0 )</f>
        <v>894756</v>
      </c>
      <c r="G2">
        <f>H2+I2+J2</f>
        <v>882768</v>
      </c>
      <c r="H2">
        <v>510480</v>
      </c>
      <c r="I2">
        <v>369747</v>
      </c>
      <c r="J2">
        <v>2541</v>
      </c>
      <c r="K2" s="2">
        <f>G2/D2*100</f>
        <v>45.357402881131861</v>
      </c>
      <c r="L2" s="2">
        <v>48.548112065415602</v>
      </c>
      <c r="M2" s="2">
        <v>41.383953304867099</v>
      </c>
      <c r="N2" s="1">
        <f>J2/D2</f>
        <v>1.3055883394159739E-3</v>
      </c>
    </row>
    <row r="3" spans="1:14" x14ac:dyDescent="0.2">
      <c r="A3">
        <v>2019</v>
      </c>
      <c r="B3" t="s">
        <v>5</v>
      </c>
      <c r="C3" t="s">
        <v>6</v>
      </c>
      <c r="D3">
        <v>2146008</v>
      </c>
      <c r="E3">
        <f>ROUND( H3 / (L3/100), 0 )</f>
        <v>1133674</v>
      </c>
      <c r="F3">
        <f>ROUND( D3 - E3, 0 )</f>
        <v>1012334</v>
      </c>
      <c r="G3">
        <f>H3+I3+J3</f>
        <v>982938</v>
      </c>
      <c r="H3">
        <v>548683</v>
      </c>
      <c r="I3">
        <v>429918</v>
      </c>
      <c r="J3">
        <v>4337</v>
      </c>
      <c r="K3" s="2">
        <f>G3/D3*100</f>
        <v>45.803091134795402</v>
      </c>
      <c r="L3" s="2">
        <v>48.39865781520966</v>
      </c>
      <c r="M3" s="2">
        <v>42.472656716948734</v>
      </c>
      <c r="N3" s="1">
        <f>J3/D3</f>
        <v>2.0209617112331361E-3</v>
      </c>
    </row>
    <row r="4" spans="1:14" x14ac:dyDescent="0.2">
      <c r="A4">
        <v>2024</v>
      </c>
      <c r="B4" t="s">
        <v>5</v>
      </c>
      <c r="C4" t="s">
        <v>6</v>
      </c>
      <c r="D4">
        <v>2295527</v>
      </c>
      <c r="E4">
        <f>ROUND( H4 / (L4/100), 0 )</f>
        <v>1211129</v>
      </c>
      <c r="F4">
        <f>ROUND( D4 - E4, 0 )</f>
        <v>1084398</v>
      </c>
      <c r="G4">
        <f>H4+I4+J4</f>
        <v>1075986</v>
      </c>
      <c r="H4">
        <v>592775</v>
      </c>
      <c r="I4">
        <v>480981</v>
      </c>
      <c r="J4">
        <v>2230</v>
      </c>
      <c r="K4" s="2">
        <f>G4/D4*100</f>
        <v>46.873158102692756</v>
      </c>
      <c r="L4" s="2">
        <v>48.944001839999999</v>
      </c>
      <c r="M4" s="2">
        <v>44.36</v>
      </c>
      <c r="N4" s="1">
        <f>J4/D4</f>
        <v>9.7145448517922033E-4</v>
      </c>
    </row>
    <row r="5" spans="1:14" x14ac:dyDescent="0.2">
      <c r="A5">
        <v>2014</v>
      </c>
      <c r="B5" t="s">
        <v>18</v>
      </c>
      <c r="C5" t="s">
        <v>18</v>
      </c>
      <c r="D5">
        <v>615205</v>
      </c>
      <c r="E5">
        <f>ROUND( H5 / (L5/100), 0 )</f>
        <v>332888</v>
      </c>
      <c r="F5">
        <f>ROUND( D5 - E5, 0 )</f>
        <v>282317</v>
      </c>
      <c r="G5">
        <f>H5+I5+J5</f>
        <v>453460</v>
      </c>
      <c r="H5">
        <v>244907</v>
      </c>
      <c r="I5">
        <v>208415</v>
      </c>
      <c r="J5">
        <v>138</v>
      </c>
      <c r="K5" s="2">
        <f>G5/D5*100</f>
        <v>73.708763745418196</v>
      </c>
      <c r="L5" s="2">
        <v>73.570390041094896</v>
      </c>
      <c r="M5" s="2">
        <v>74.155580303930606</v>
      </c>
      <c r="N5" s="1">
        <f>J5/D5</f>
        <v>2.243154720784129E-4</v>
      </c>
    </row>
    <row r="6" spans="1:14" x14ac:dyDescent="0.2">
      <c r="A6">
        <v>2019</v>
      </c>
      <c r="B6" t="s">
        <v>18</v>
      </c>
      <c r="C6" t="s">
        <v>18</v>
      </c>
      <c r="D6">
        <v>646729</v>
      </c>
      <c r="E6">
        <f>ROUND( H6 / (L6/100), 0 )</f>
        <v>342201</v>
      </c>
      <c r="F6">
        <f>ROUND( D6 - E6, 0 )</f>
        <v>304528</v>
      </c>
      <c r="G6">
        <f>H6+I6+J6</f>
        <v>456622</v>
      </c>
      <c r="H6">
        <v>240635</v>
      </c>
      <c r="I6">
        <v>215557</v>
      </c>
      <c r="J6">
        <v>430</v>
      </c>
      <c r="K6" s="2">
        <f>G6/D6*100</f>
        <v>70.60484375990562</v>
      </c>
      <c r="L6" s="2">
        <v>70.319782817700698</v>
      </c>
      <c r="M6" s="2">
        <v>70.788848860617321</v>
      </c>
      <c r="N6" s="1">
        <f>J6/D6</f>
        <v>6.6488436423911719E-4</v>
      </c>
    </row>
    <row r="7" spans="1:14" x14ac:dyDescent="0.2">
      <c r="A7">
        <v>2024</v>
      </c>
      <c r="B7" t="s">
        <v>18</v>
      </c>
      <c r="C7" t="s">
        <v>18</v>
      </c>
      <c r="D7">
        <v>660552</v>
      </c>
      <c r="E7">
        <f>ROUND( H7 / (L7/100), 0 )</f>
        <v>342174</v>
      </c>
      <c r="F7">
        <f>ROUND( D7 - E7, 0 )</f>
        <v>318378</v>
      </c>
      <c r="G7">
        <f>H7+I7+J7</f>
        <v>449356</v>
      </c>
      <c r="H7">
        <v>234526</v>
      </c>
      <c r="I7">
        <v>213995</v>
      </c>
      <c r="J7">
        <v>835</v>
      </c>
      <c r="K7" s="2">
        <f>G7/D7*100</f>
        <v>68.027346825079633</v>
      </c>
      <c r="L7" s="2">
        <v>68.540000000000006</v>
      </c>
      <c r="M7" s="2">
        <v>67.22</v>
      </c>
      <c r="N7" s="1">
        <f>J7/D7</f>
        <v>1.2640942726689192E-3</v>
      </c>
    </row>
    <row r="8" spans="1:14" x14ac:dyDescent="0.2">
      <c r="A8">
        <v>2014</v>
      </c>
      <c r="B8" t="s">
        <v>14</v>
      </c>
      <c r="C8" t="s">
        <v>15</v>
      </c>
      <c r="D8">
        <v>1684321</v>
      </c>
      <c r="E8">
        <f>ROUND( H8 / (L8/100), 0 )</f>
        <v>909648</v>
      </c>
      <c r="F8">
        <f>ROUND( D8 - E8, 0 )</f>
        <v>774673</v>
      </c>
      <c r="G8">
        <f>H8+I8+J8</f>
        <v>1193697</v>
      </c>
      <c r="H8">
        <v>666729</v>
      </c>
      <c r="I8">
        <v>526629</v>
      </c>
      <c r="J8">
        <v>339</v>
      </c>
      <c r="K8" s="2">
        <f>G8/D8*100</f>
        <v>70.871110673084289</v>
      </c>
      <c r="L8" s="2">
        <v>73.295274655691003</v>
      </c>
      <c r="M8" s="2">
        <v>68.418078215251697</v>
      </c>
      <c r="N8" s="1">
        <f>J8/D8</f>
        <v>2.0126804807397164E-4</v>
      </c>
    </row>
    <row r="9" spans="1:14" x14ac:dyDescent="0.2">
      <c r="A9">
        <v>2019</v>
      </c>
      <c r="B9" t="s">
        <v>14</v>
      </c>
      <c r="C9" t="s">
        <v>15</v>
      </c>
      <c r="D9">
        <v>1904193</v>
      </c>
      <c r="E9">
        <f>ROUND( H9 / (L9/100), 0 )</f>
        <v>1019227</v>
      </c>
      <c r="F9">
        <f>ROUND( D9 - E9, 0 )</f>
        <v>884966</v>
      </c>
      <c r="G9">
        <f>H9+I9+J9</f>
        <v>1301471</v>
      </c>
      <c r="H9">
        <v>706599</v>
      </c>
      <c r="I9">
        <v>591424</v>
      </c>
      <c r="J9">
        <v>3448</v>
      </c>
      <c r="K9" s="2">
        <f>G9/D9*100</f>
        <v>68.347641231744888</v>
      </c>
      <c r="L9" s="2">
        <v>69.326950718534732</v>
      </c>
      <c r="M9" s="2">
        <v>66.833989705225932</v>
      </c>
      <c r="N9" s="1">
        <f>J9/D9</f>
        <v>1.810740823015314E-3</v>
      </c>
    </row>
    <row r="10" spans="1:14" x14ac:dyDescent="0.2">
      <c r="A10">
        <v>2024</v>
      </c>
      <c r="B10" t="s">
        <v>14</v>
      </c>
      <c r="C10" t="s">
        <v>15</v>
      </c>
      <c r="D10">
        <v>2109702</v>
      </c>
      <c r="E10">
        <f>ROUND( H10 / (L10/100), 0 )</f>
        <v>1112797</v>
      </c>
      <c r="F10">
        <f>ROUND( D10 - E10, 0 )</f>
        <v>996905</v>
      </c>
      <c r="G10">
        <f>H10+I10+J10</f>
        <v>1346637</v>
      </c>
      <c r="H10">
        <v>721760</v>
      </c>
      <c r="I10">
        <v>619418</v>
      </c>
      <c r="J10">
        <v>5459</v>
      </c>
      <c r="K10" s="2">
        <f>G10/D10*100</f>
        <v>63.830673716003496</v>
      </c>
      <c r="L10" s="2">
        <v>64.86</v>
      </c>
      <c r="M10" s="2">
        <v>62.14</v>
      </c>
      <c r="N10" s="1">
        <f>J10/D10</f>
        <v>2.5875692396366882E-3</v>
      </c>
    </row>
    <row r="11" spans="1:14" x14ac:dyDescent="0.2">
      <c r="A11">
        <v>2014</v>
      </c>
      <c r="B11" t="s">
        <v>0</v>
      </c>
      <c r="C11" t="s">
        <v>9</v>
      </c>
      <c r="D11">
        <v>1998724</v>
      </c>
      <c r="E11">
        <f>ROUND( H11 / (L11/100), 0 )</f>
        <v>1050584</v>
      </c>
      <c r="F11">
        <f>ROUND( D11 - E11, 0 )</f>
        <v>948140</v>
      </c>
      <c r="G11">
        <f>H11+I11+J11</f>
        <v>1114340</v>
      </c>
      <c r="H11">
        <v>596688</v>
      </c>
      <c r="I11">
        <v>516207</v>
      </c>
      <c r="J11">
        <v>1445</v>
      </c>
      <c r="K11" s="2">
        <f>G11/D11*100</f>
        <v>55.75257013974916</v>
      </c>
      <c r="L11" s="2">
        <v>56.7958392665413</v>
      </c>
      <c r="M11" s="2">
        <v>54.474970557321399</v>
      </c>
      <c r="N11" s="1">
        <f>J11/D11</f>
        <v>7.2296124927703873E-4</v>
      </c>
    </row>
    <row r="12" spans="1:14" x14ac:dyDescent="0.2">
      <c r="A12">
        <v>2019</v>
      </c>
      <c r="B12" t="s">
        <v>0</v>
      </c>
      <c r="C12" t="s">
        <v>9</v>
      </c>
      <c r="D12">
        <v>2215489</v>
      </c>
      <c r="E12">
        <f>ROUND( H12 / (L12/100), 0 )</f>
        <v>1153540</v>
      </c>
      <c r="F12">
        <f>ROUND( D12 - E12, 0 )</f>
        <v>1061949</v>
      </c>
      <c r="G12">
        <f>H12+I12+J12</f>
        <v>1189624</v>
      </c>
      <c r="H12">
        <v>616311</v>
      </c>
      <c r="I12">
        <v>568793</v>
      </c>
      <c r="J12">
        <v>4520</v>
      </c>
      <c r="K12" s="2">
        <f>G12/D12*100</f>
        <v>53.695775515021737</v>
      </c>
      <c r="L12" s="2">
        <v>53.427796175251828</v>
      </c>
      <c r="M12" s="2">
        <v>53.578590907164148</v>
      </c>
      <c r="N12" s="1">
        <f>J12/D12</f>
        <v>2.0401816483855257E-3</v>
      </c>
    </row>
    <row r="13" spans="1:14" x14ac:dyDescent="0.2">
      <c r="A13">
        <v>2024</v>
      </c>
      <c r="B13" t="s">
        <v>0</v>
      </c>
      <c r="C13" t="s">
        <v>9</v>
      </c>
      <c r="D13">
        <v>2341895</v>
      </c>
      <c r="E13">
        <f>ROUND( H13 / (L13/100), 0 )</f>
        <v>1207404</v>
      </c>
      <c r="F13">
        <f>ROUND( D13 - E13, 0 )</f>
        <v>1134491</v>
      </c>
      <c r="G13">
        <f>H13+I13+J13</f>
        <v>1250001</v>
      </c>
      <c r="H13">
        <v>630756</v>
      </c>
      <c r="I13">
        <v>614381</v>
      </c>
      <c r="J13">
        <v>4864</v>
      </c>
      <c r="K13" s="2">
        <f>G13/D13*100</f>
        <v>53.3756210248538</v>
      </c>
      <c r="L13" s="2">
        <v>52.240675039999999</v>
      </c>
      <c r="M13" s="2">
        <v>54.17</v>
      </c>
      <c r="N13" s="1">
        <f>J13/D13</f>
        <v>2.0769505037587081E-3</v>
      </c>
    </row>
    <row r="14" spans="1:14" x14ac:dyDescent="0.2">
      <c r="A14">
        <v>2014</v>
      </c>
      <c r="B14" t="s">
        <v>13</v>
      </c>
      <c r="C14" t="s">
        <v>12</v>
      </c>
      <c r="D14">
        <v>1272632</v>
      </c>
      <c r="E14">
        <f>ROUND( H14 / (L14/100), 0 )</f>
        <v>610716</v>
      </c>
      <c r="F14">
        <f>ROUND( D14 - E14, 0 )</f>
        <v>661916</v>
      </c>
      <c r="G14">
        <f>H14+I14+J14</f>
        <v>873462</v>
      </c>
      <c r="H14">
        <v>433243</v>
      </c>
      <c r="I14">
        <v>437404</v>
      </c>
      <c r="J14">
        <v>2815</v>
      </c>
      <c r="K14" s="2">
        <f>G14/D14*100</f>
        <v>68.634294910076122</v>
      </c>
      <c r="L14" s="2">
        <v>70.940175138689696</v>
      </c>
      <c r="M14" s="2">
        <v>66.602308371653905</v>
      </c>
      <c r="N14" s="1">
        <f>J14/D14</f>
        <v>2.2119512946397702E-3</v>
      </c>
    </row>
    <row r="15" spans="1:14" x14ac:dyDescent="0.2">
      <c r="A15">
        <v>2019</v>
      </c>
      <c r="B15" t="s">
        <v>13</v>
      </c>
      <c r="C15" t="s">
        <v>12</v>
      </c>
      <c r="D15">
        <v>1371427</v>
      </c>
      <c r="E15">
        <f>ROUND( H15 / (L15/100), 0 )</f>
        <v>664663</v>
      </c>
      <c r="F15">
        <f>ROUND( D15 - E15, 0 )</f>
        <v>706764</v>
      </c>
      <c r="G15">
        <f>H15+I15+J15</f>
        <v>1011253</v>
      </c>
      <c r="H15">
        <v>490244</v>
      </c>
      <c r="I15">
        <v>513476</v>
      </c>
      <c r="J15">
        <v>7533</v>
      </c>
      <c r="K15" s="2">
        <f>G15/D15*100</f>
        <v>73.737282407302757</v>
      </c>
      <c r="L15" s="2">
        <v>73.758280512079054</v>
      </c>
      <c r="M15" s="2">
        <v>72.655186563468362</v>
      </c>
      <c r="N15" s="1">
        <f>J15/D15</f>
        <v>5.4928187938548681E-3</v>
      </c>
    </row>
    <row r="16" spans="1:14" x14ac:dyDescent="0.2">
      <c r="A16">
        <v>2024</v>
      </c>
      <c r="B16" t="s">
        <v>13</v>
      </c>
      <c r="C16" t="s">
        <v>12</v>
      </c>
      <c r="D16">
        <v>1434657</v>
      </c>
      <c r="E16">
        <f>ROUND( H16 / (L16/100), 0 )</f>
        <v>693012</v>
      </c>
      <c r="F16">
        <f>ROUND( D16 - E16, 0 )</f>
        <v>741645</v>
      </c>
      <c r="G16">
        <f>H16+I16+J16</f>
        <v>964322</v>
      </c>
      <c r="H16">
        <v>467090</v>
      </c>
      <c r="I16">
        <v>483755</v>
      </c>
      <c r="J16">
        <v>13477</v>
      </c>
      <c r="K16" s="2">
        <f>G16/D16*100</f>
        <v>67.216205685400766</v>
      </c>
      <c r="L16" s="2">
        <v>67.400000000000006</v>
      </c>
      <c r="M16" s="2">
        <v>65.239999999999995</v>
      </c>
      <c r="N16" s="1">
        <f>J16/D16</f>
        <v>9.3938829978175969E-3</v>
      </c>
    </row>
    <row r="17" spans="1:14" x14ac:dyDescent="0.2">
      <c r="A17">
        <v>2014</v>
      </c>
      <c r="B17" t="s">
        <v>10</v>
      </c>
      <c r="C17" t="s">
        <v>11</v>
      </c>
      <c r="D17">
        <v>1957241</v>
      </c>
      <c r="E17">
        <f>ROUND( H17 / (L17/100), 0 )</f>
        <v>1037893</v>
      </c>
      <c r="F17">
        <f>ROUND( D17 - E17, 0 )</f>
        <v>919348</v>
      </c>
      <c r="G17">
        <f>H17+I17+J17</f>
        <v>1130274</v>
      </c>
      <c r="H17">
        <v>639634</v>
      </c>
      <c r="I17">
        <v>490428</v>
      </c>
      <c r="J17">
        <v>212</v>
      </c>
      <c r="K17" s="2">
        <f>G17/D17*100</f>
        <v>57.748330430437548</v>
      </c>
      <c r="L17" s="2">
        <v>61.628125442603398</v>
      </c>
      <c r="M17" s="2">
        <v>53.457362448346899</v>
      </c>
      <c r="N17" s="1">
        <f>J17/D17</f>
        <v>1.0831573628388124E-4</v>
      </c>
    </row>
    <row r="18" spans="1:14" x14ac:dyDescent="0.2">
      <c r="A18">
        <v>2019</v>
      </c>
      <c r="B18" t="s">
        <v>10</v>
      </c>
      <c r="C18" t="s">
        <v>11</v>
      </c>
      <c r="D18">
        <v>2142861</v>
      </c>
      <c r="E18">
        <f>ROUND( H18 / (L18/100), 0 )</f>
        <v>1121754</v>
      </c>
      <c r="F18">
        <f>ROUND( D18 - E18, 0 )</f>
        <v>1021107</v>
      </c>
      <c r="G18">
        <f>H18+I18+J18</f>
        <v>1408603</v>
      </c>
      <c r="H18">
        <v>761678</v>
      </c>
      <c r="I18">
        <v>644492</v>
      </c>
      <c r="J18">
        <v>2433</v>
      </c>
      <c r="K18" s="2">
        <f>G18/D18*100</f>
        <v>65.734688344227649</v>
      </c>
      <c r="L18" s="2">
        <v>67.900627053703403</v>
      </c>
      <c r="M18" s="2">
        <v>63.128303380075302</v>
      </c>
      <c r="N18" s="1">
        <f>J18/D18</f>
        <v>1.1353979562836788E-3</v>
      </c>
    </row>
    <row r="19" spans="1:14" x14ac:dyDescent="0.2">
      <c r="A19">
        <v>2024</v>
      </c>
      <c r="B19" t="s">
        <v>10</v>
      </c>
      <c r="C19" t="s">
        <v>11</v>
      </c>
      <c r="D19">
        <v>2339411</v>
      </c>
      <c r="E19">
        <f>ROUND( H19 / (L19/100), 0 )</f>
        <v>1200566</v>
      </c>
      <c r="F19">
        <f>ROUND( D19 - E19, 0 )</f>
        <v>1138845</v>
      </c>
      <c r="G19">
        <f>H19+I19+J19</f>
        <v>1499874</v>
      </c>
      <c r="H19">
        <v>797656</v>
      </c>
      <c r="I19">
        <v>697299</v>
      </c>
      <c r="J19">
        <v>4919</v>
      </c>
      <c r="K19" s="2">
        <f>G19/D19*100</f>
        <v>64.113317411946852</v>
      </c>
      <c r="L19" s="2">
        <v>66.44</v>
      </c>
      <c r="M19" s="2">
        <v>61.24</v>
      </c>
      <c r="N19" s="1">
        <f>J19/D19</f>
        <v>2.1026660129408641E-3</v>
      </c>
    </row>
    <row r="20" spans="1:14" x14ac:dyDescent="0.2">
      <c r="A20">
        <v>2014</v>
      </c>
      <c r="B20" t="s">
        <v>1</v>
      </c>
      <c r="C20" t="s">
        <v>8</v>
      </c>
      <c r="D20">
        <v>1783870</v>
      </c>
      <c r="E20">
        <f>ROUND( H20 / (L20/100), 0 )</f>
        <v>972593</v>
      </c>
      <c r="F20">
        <f>ROUND( D20 - E20, 0 )</f>
        <v>811277</v>
      </c>
      <c r="G20">
        <f>H20+I20+J20</f>
        <v>946716</v>
      </c>
      <c r="H20">
        <v>527247</v>
      </c>
      <c r="I20">
        <v>418394</v>
      </c>
      <c r="J20">
        <v>1075</v>
      </c>
      <c r="K20" s="2">
        <f>G20/D20*100</f>
        <v>53.070907633403777</v>
      </c>
      <c r="L20" s="2">
        <v>54.210445684885698</v>
      </c>
      <c r="M20" s="2">
        <v>51.587281037580098</v>
      </c>
      <c r="N20" s="1">
        <f>J20/D20</f>
        <v>6.026223884027424E-4</v>
      </c>
    </row>
    <row r="21" spans="1:14" x14ac:dyDescent="0.2">
      <c r="A21">
        <v>2019</v>
      </c>
      <c r="B21" t="s">
        <v>1</v>
      </c>
      <c r="C21" t="s">
        <v>8</v>
      </c>
      <c r="D21">
        <v>1647350</v>
      </c>
      <c r="E21">
        <f>ROUND( H21 / (L21/100), 0 )</f>
        <v>890162</v>
      </c>
      <c r="F21">
        <f>ROUND( D21 - E21, 0 )</f>
        <v>757188</v>
      </c>
      <c r="G21">
        <f>H21+I21+J21</f>
        <v>989795</v>
      </c>
      <c r="H21">
        <v>542095</v>
      </c>
      <c r="I21">
        <v>445794</v>
      </c>
      <c r="J21">
        <v>1906</v>
      </c>
      <c r="K21" s="2">
        <f>G21/D21*100</f>
        <v>60.084074422557443</v>
      </c>
      <c r="L21" s="2">
        <v>60.898465672540503</v>
      </c>
      <c r="M21" s="2">
        <v>58.90076844208145</v>
      </c>
      <c r="N21" s="1">
        <f>J21/D21</f>
        <v>1.1570097429204479E-3</v>
      </c>
    </row>
    <row r="22" spans="1:14" x14ac:dyDescent="0.2">
      <c r="A22">
        <v>2024</v>
      </c>
      <c r="B22" t="s">
        <v>1</v>
      </c>
      <c r="C22" t="s">
        <v>8</v>
      </c>
      <c r="D22">
        <v>1812115</v>
      </c>
      <c r="E22">
        <f>ROUND( H22 / (L22/100), 0 )</f>
        <v>969199</v>
      </c>
      <c r="F22">
        <f>ROUND( D22 - E22, 0 )</f>
        <v>842916</v>
      </c>
      <c r="G22">
        <f>H22+I22+J22</f>
        <v>1036434</v>
      </c>
      <c r="H22">
        <v>560391</v>
      </c>
      <c r="I22">
        <v>472815</v>
      </c>
      <c r="J22">
        <v>3228</v>
      </c>
      <c r="K22" s="2">
        <f>G22/D22*100</f>
        <v>57.194714463486044</v>
      </c>
      <c r="L22" s="2">
        <v>57.82</v>
      </c>
      <c r="M22" s="2">
        <v>56.12</v>
      </c>
      <c r="N22" s="1">
        <f>J22/D22</f>
        <v>1.781343899255842E-3</v>
      </c>
    </row>
    <row r="23" spans="1:14" x14ac:dyDescent="0.2">
      <c r="A23">
        <v>2014</v>
      </c>
      <c r="B23" t="s">
        <v>16</v>
      </c>
      <c r="C23" t="s">
        <v>17</v>
      </c>
      <c r="D23">
        <v>1957816</v>
      </c>
      <c r="E23">
        <f>ROUND( H23 / (L23/100), 0 )</f>
        <v>1046910</v>
      </c>
      <c r="F23">
        <f>ROUND( D23 - E23, 0 )</f>
        <v>910906</v>
      </c>
      <c r="G23">
        <f>H23+I23+J23</f>
        <v>1298951</v>
      </c>
      <c r="H23">
        <v>714851</v>
      </c>
      <c r="I23">
        <v>578288</v>
      </c>
      <c r="J23">
        <v>5812</v>
      </c>
      <c r="K23" s="2">
        <f>G23/D23*100</f>
        <v>66.346939651121446</v>
      </c>
      <c r="L23" s="2">
        <v>68.281991766245397</v>
      </c>
      <c r="M23" s="2">
        <v>63.545268839535801</v>
      </c>
      <c r="N23" s="1">
        <f>J23/D23</f>
        <v>2.9686140066277934E-3</v>
      </c>
    </row>
    <row r="24" spans="1:14" x14ac:dyDescent="0.2">
      <c r="A24">
        <v>2019</v>
      </c>
      <c r="B24" t="s">
        <v>16</v>
      </c>
      <c r="C24" t="s">
        <v>17</v>
      </c>
      <c r="D24">
        <v>2127021</v>
      </c>
      <c r="E24">
        <f>ROUND( H24 / (L24/100), 0 )</f>
        <v>1119477</v>
      </c>
      <c r="F24">
        <f>ROUND( D24 - E24, 0 )</f>
        <v>1007544</v>
      </c>
      <c r="G24">
        <f>H24+I24+J24</f>
        <v>1456494</v>
      </c>
      <c r="H24">
        <v>784372</v>
      </c>
      <c r="I24">
        <v>663540</v>
      </c>
      <c r="J24">
        <v>8582</v>
      </c>
      <c r="K24" s="2">
        <f>G24/D24*100</f>
        <v>68.475769632739869</v>
      </c>
      <c r="L24" s="2">
        <v>70.065932573871549</v>
      </c>
      <c r="M24" s="2">
        <v>65.858807625464138</v>
      </c>
      <c r="N24" s="1">
        <f>J24/D24</f>
        <v>4.034750949802564E-3</v>
      </c>
    </row>
    <row r="25" spans="1:14" x14ac:dyDescent="0.2">
      <c r="A25">
        <v>2024</v>
      </c>
      <c r="B25" t="s">
        <v>16</v>
      </c>
      <c r="C25" t="s">
        <v>17</v>
      </c>
      <c r="D25">
        <v>2288793</v>
      </c>
      <c r="E25">
        <f>ROUND( H25 / (L25/100), 0 )</f>
        <v>1192135</v>
      </c>
      <c r="F25">
        <f>ROUND( D25 - E25, 0 )</f>
        <v>1096658</v>
      </c>
      <c r="G25">
        <f>H25+I25+J25</f>
        <v>1464964</v>
      </c>
      <c r="H25">
        <v>782994</v>
      </c>
      <c r="I25">
        <v>666587</v>
      </c>
      <c r="J25">
        <v>15383</v>
      </c>
      <c r="K25" s="2">
        <f>G25/D25*100</f>
        <v>64.005962968254451</v>
      </c>
      <c r="L25" s="2">
        <v>65.680000000000007</v>
      </c>
      <c r="M25" s="2">
        <v>60.79</v>
      </c>
      <c r="N25" s="1">
        <f>J25/D25</f>
        <v>6.7210097199703073E-3</v>
      </c>
    </row>
    <row r="26" spans="1:14" x14ac:dyDescent="0.2">
      <c r="A26">
        <v>2014</v>
      </c>
      <c r="B26" t="s">
        <v>2</v>
      </c>
      <c r="C26" t="s">
        <v>7</v>
      </c>
      <c r="D26">
        <v>1795743</v>
      </c>
      <c r="E26">
        <f>ROUND( H26 / (L26/100), 0 )</f>
        <v>900950</v>
      </c>
      <c r="F26">
        <f>ROUND( D26 - E26, 0 )</f>
        <v>894793</v>
      </c>
      <c r="G26">
        <f>H26+I26+J26</f>
        <v>1085391</v>
      </c>
      <c r="H26">
        <v>556403</v>
      </c>
      <c r="I26">
        <v>527433</v>
      </c>
      <c r="J26">
        <v>1555</v>
      </c>
      <c r="K26" s="2">
        <f>G26/D26*100</f>
        <v>60.442446385702183</v>
      </c>
      <c r="L26" s="2">
        <v>61.757367223486298</v>
      </c>
      <c r="M26" s="2">
        <v>58.987676440293001</v>
      </c>
      <c r="N26" s="1">
        <f>J26/D26</f>
        <v>8.6593682949063426E-4</v>
      </c>
    </row>
    <row r="27" spans="1:14" x14ac:dyDescent="0.2">
      <c r="A27">
        <v>2019</v>
      </c>
      <c r="B27" t="s">
        <v>2</v>
      </c>
      <c r="C27" t="s">
        <v>7</v>
      </c>
      <c r="D27">
        <v>1973533</v>
      </c>
      <c r="E27">
        <f>ROUND( H27 / (L27/100), 0 )</f>
        <v>979658</v>
      </c>
      <c r="F27">
        <f>ROUND( D27 - E27, 0 )</f>
        <v>993875</v>
      </c>
      <c r="G27">
        <f>H27+I27+J27</f>
        <v>1126329</v>
      </c>
      <c r="H27">
        <v>567542</v>
      </c>
      <c r="I27">
        <v>555856</v>
      </c>
      <c r="J27">
        <v>2931</v>
      </c>
      <c r="K27" s="2">
        <f>G27/D27*100</f>
        <v>57.071708453823675</v>
      </c>
      <c r="L27" s="2">
        <v>57.932666297830473</v>
      </c>
      <c r="M27" s="2">
        <v>55.95005868225622</v>
      </c>
      <c r="N27" s="1">
        <f>J27/D27</f>
        <v>1.4851537825817961E-3</v>
      </c>
    </row>
    <row r="28" spans="1:14" x14ac:dyDescent="0.2">
      <c r="A28">
        <v>2024</v>
      </c>
      <c r="B28" t="s">
        <v>2</v>
      </c>
      <c r="C28" t="s">
        <v>7</v>
      </c>
      <c r="D28">
        <v>2023381</v>
      </c>
      <c r="E28">
        <f>ROUND( H28 / (L28/100), 0 )</f>
        <v>1000968</v>
      </c>
      <c r="F28">
        <f>ROUND( D28 - E28, 0 )</f>
        <v>1022413</v>
      </c>
      <c r="G28">
        <f>H28+I28+J28</f>
        <v>1099910</v>
      </c>
      <c r="H28">
        <v>552034</v>
      </c>
      <c r="I28">
        <v>543797</v>
      </c>
      <c r="J28">
        <v>4079</v>
      </c>
      <c r="K28" s="2">
        <f>G28/D28*100</f>
        <v>54.360004368925082</v>
      </c>
      <c r="L28" s="2">
        <v>55.15</v>
      </c>
      <c r="M28" s="2">
        <v>53.22</v>
      </c>
      <c r="N28" s="1">
        <f>J28/D28</f>
        <v>2.0159327383226394E-3</v>
      </c>
    </row>
    <row r="29" spans="1:14" x14ac:dyDescent="0.2">
      <c r="A29">
        <v>2014</v>
      </c>
      <c r="B29" t="s">
        <v>3</v>
      </c>
      <c r="C29" t="s">
        <v>4</v>
      </c>
      <c r="D29">
        <v>1949956</v>
      </c>
      <c r="E29">
        <f>ROUND( H29 / (L29/100), 0 )</f>
        <v>1051077</v>
      </c>
      <c r="F29">
        <f>ROUND( D29 - E29, 0 )</f>
        <v>898879</v>
      </c>
      <c r="G29">
        <f>H29+I29+J29</f>
        <v>1034698</v>
      </c>
      <c r="H29">
        <v>580513</v>
      </c>
      <c r="I29">
        <v>450547</v>
      </c>
      <c r="J29">
        <v>3638</v>
      </c>
      <c r="K29" s="2">
        <f>G29/D29*100</f>
        <v>53.062633208133924</v>
      </c>
      <c r="L29" s="2">
        <v>55.230301871318702</v>
      </c>
      <c r="M29" s="2">
        <v>50.222102330931897</v>
      </c>
      <c r="N29" s="1">
        <f>J29/D29</f>
        <v>1.8656831231063675E-3</v>
      </c>
    </row>
    <row r="30" spans="1:14" x14ac:dyDescent="0.2">
      <c r="A30">
        <v>2019</v>
      </c>
      <c r="B30" t="s">
        <v>3</v>
      </c>
      <c r="C30" t="s">
        <v>4</v>
      </c>
      <c r="D30">
        <v>2040367</v>
      </c>
      <c r="E30">
        <f>ROUND( H30 / (L30/100), 0 )</f>
        <v>1096455</v>
      </c>
      <c r="F30">
        <f>ROUND( D30 - E30, 0 )</f>
        <v>943912</v>
      </c>
      <c r="G30">
        <f>H30+I30+J30</f>
        <v>1117627</v>
      </c>
      <c r="H30">
        <v>609363</v>
      </c>
      <c r="I30">
        <v>497734</v>
      </c>
      <c r="J30">
        <v>10530</v>
      </c>
      <c r="K30" s="2">
        <f>G30/D30*100</f>
        <v>54.775782984139617</v>
      </c>
      <c r="L30" s="2">
        <v>55.575741822509819</v>
      </c>
      <c r="M30" s="2">
        <v>52.736394314563761</v>
      </c>
      <c r="N30" s="1">
        <f>J30/D30</f>
        <v>5.1608362613196545E-3</v>
      </c>
    </row>
    <row r="31" spans="1:14" x14ac:dyDescent="0.2">
      <c r="A31">
        <v>2024</v>
      </c>
      <c r="B31" t="s">
        <v>3</v>
      </c>
      <c r="C31" t="s">
        <v>4</v>
      </c>
      <c r="D31">
        <v>2173953</v>
      </c>
      <c r="E31">
        <f>ROUND( H31 / (L31/100), 0 )</f>
        <v>1149656</v>
      </c>
      <c r="F31">
        <f>ROUND( D31 - E31, 0 )</f>
        <v>1024297</v>
      </c>
      <c r="G31">
        <f>H31+I31+J31</f>
        <v>1140200</v>
      </c>
      <c r="H31">
        <v>621389</v>
      </c>
      <c r="I31">
        <v>514344</v>
      </c>
      <c r="J31">
        <v>4467</v>
      </c>
      <c r="K31" s="2">
        <f>G31/D31*100</f>
        <v>52.448236001422302</v>
      </c>
      <c r="L31" s="2">
        <v>54.05</v>
      </c>
      <c r="M31" s="2">
        <v>50.22</v>
      </c>
      <c r="N31" s="1">
        <f>J31/D31</f>
        <v>2.0547822331025557E-3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abhinav</dc:creator>
  <cp:lastModifiedBy>abhinav abhinav</cp:lastModifiedBy>
  <dcterms:created xsi:type="dcterms:W3CDTF">2025-11-29T06:14:27Z</dcterms:created>
  <dcterms:modified xsi:type="dcterms:W3CDTF">2025-11-29T13:33:13Z</dcterms:modified>
</cp:coreProperties>
</file>